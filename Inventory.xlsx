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64" windowHeight="8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<sst xmlns="http://schemas.openxmlformats.org/spreadsheetml/2006/main" count="58" uniqueCount="39">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</sst>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4"/>
      <color theme="1"/>
      <name val="Arial"/>
      <charset val="134"/>
      <scheme val="minor"/>
    </font>
    <font>
      <b/>
      <sz val="14"/>
      <color theme="1"/>
      <name val="Arial"/>
      <charset val="134"/>
    </font>
    <font>
      <sz val="14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abSelected="1" workbookViewId="0">
      <selection activeCell="D22" sqref="D22"/>
    </sheetView>
  </sheetViews>
  <sheetFormatPr defaultColWidth="9.17948717948718" defaultRowHeight="15" customHeight="1"/>
  <cols>
    <col min="1" max="1" width="19.7307692307692" customWidth="1"/>
    <col min="2" max="2" width="13.0897435897436" customWidth="1"/>
    <col min="3" max="3" width="10.5512820512821" customWidth="1"/>
    <col min="4" max="4" width="12" customWidth="1"/>
    <col min="5" max="5" width="15.8205128205128" customWidth="1"/>
    <col min="6" max="6" width="18.0897435897436" customWidth="1"/>
    <col min="7" max="7" width="19.6410256410256" customWidth="1"/>
    <col min="8" max="27" width="8.44871794871795" customWidth="1"/>
  </cols>
  <sheetData>
    <row r="1" ht="17.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customHeight="1" spans="1:9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  <c r="H2">
        <f>E2+F2+G2</f>
        <v>210</v>
      </c>
      <c r="I2">
        <f>H2*D2</f>
        <v>12597.9</v>
      </c>
    </row>
    <row r="3" ht="17.25" customHeight="1" spans="1:9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  <c r="H3">
        <f t="shared" ref="H3:H18" si="0">E3+F3+G3</f>
        <v>650</v>
      </c>
      <c r="I3">
        <f t="shared" ref="I3:I18" si="1">H3*D3</f>
        <v>5193.5</v>
      </c>
    </row>
    <row r="4" ht="17.25" customHeight="1" spans="1:9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  <c r="H4">
        <f t="shared" si="0"/>
        <v>550</v>
      </c>
      <c r="I4">
        <f t="shared" si="1"/>
        <v>3844.5</v>
      </c>
    </row>
    <row r="5" ht="17.25" customHeight="1" spans="1:9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  <c r="H5">
        <f t="shared" si="0"/>
        <v>200</v>
      </c>
      <c r="I5">
        <f t="shared" si="1"/>
        <v>1798</v>
      </c>
    </row>
    <row r="6" ht="17.25" customHeight="1" spans="1:9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  <c r="H6">
        <f t="shared" si="0"/>
        <v>8</v>
      </c>
      <c r="I6">
        <f t="shared" si="1"/>
        <v>1199.92</v>
      </c>
    </row>
    <row r="7" ht="17.25" customHeight="1" spans="1:9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  <c r="H7">
        <f t="shared" si="0"/>
        <v>32</v>
      </c>
      <c r="I7">
        <f t="shared" si="1"/>
        <v>14400</v>
      </c>
    </row>
    <row r="8" ht="17.25" customHeight="1" spans="1:9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  <c r="H8">
        <f t="shared" si="0"/>
        <v>145</v>
      </c>
      <c r="I8">
        <f t="shared" si="1"/>
        <v>2246.05</v>
      </c>
    </row>
    <row r="9" ht="17.25" customHeight="1" spans="1:9">
      <c r="A9" s="2" t="s">
        <v>24</v>
      </c>
      <c r="B9" s="2" t="s">
        <v>8</v>
      </c>
      <c r="C9" s="2" t="s">
        <v>25</v>
      </c>
      <c r="D9" s="2">
        <v>17.99</v>
      </c>
      <c r="E9" s="2">
        <v>547</v>
      </c>
      <c r="F9" s="2">
        <v>1000</v>
      </c>
      <c r="G9" s="2">
        <v>0</v>
      </c>
      <c r="H9">
        <f t="shared" si="0"/>
        <v>1547</v>
      </c>
      <c r="I9">
        <f t="shared" si="1"/>
        <v>27830.53</v>
      </c>
    </row>
    <row r="10" ht="17.25" customHeight="1" spans="1:9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  <c r="H10">
        <f t="shared" si="0"/>
        <v>12</v>
      </c>
      <c r="I10">
        <f t="shared" si="1"/>
        <v>1199.88</v>
      </c>
    </row>
    <row r="11" ht="17.25" customHeight="1" spans="1:9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  <c r="H11">
        <f t="shared" si="0"/>
        <v>1050</v>
      </c>
      <c r="I11">
        <f t="shared" si="1"/>
        <v>6289.5</v>
      </c>
    </row>
    <row r="12" ht="17.25" customHeight="1" spans="1:9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  <c r="H12">
        <f t="shared" si="0"/>
        <v>2875</v>
      </c>
      <c r="I12">
        <f t="shared" si="1"/>
        <v>8596.25</v>
      </c>
    </row>
    <row r="13" ht="17.25" customHeight="1" spans="1:9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  <c r="H13">
        <f t="shared" si="0"/>
        <v>2500</v>
      </c>
      <c r="I13">
        <f t="shared" si="1"/>
        <v>9975</v>
      </c>
    </row>
    <row r="14" ht="17.25" customHeight="1" spans="1:9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  <c r="H14">
        <f t="shared" si="0"/>
        <v>5000</v>
      </c>
      <c r="I14">
        <f t="shared" si="1"/>
        <v>19950</v>
      </c>
    </row>
    <row r="15" ht="17.25" customHeight="1" spans="1:9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  <c r="H15">
        <f t="shared" si="0"/>
        <v>5000</v>
      </c>
      <c r="I15">
        <f t="shared" si="1"/>
        <v>19950</v>
      </c>
    </row>
    <row r="16" ht="17.25" customHeight="1" spans="1:9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  <c r="H16">
        <f t="shared" si="0"/>
        <v>750</v>
      </c>
      <c r="I16">
        <f t="shared" si="1"/>
        <v>1492.5</v>
      </c>
    </row>
    <row r="17" ht="17.25" customHeight="1" spans="1:9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  <c r="H17">
        <f t="shared" si="0"/>
        <v>2000</v>
      </c>
      <c r="I17">
        <f t="shared" si="1"/>
        <v>9980</v>
      </c>
    </row>
    <row r="18" ht="17.25" customHeight="1" spans="1:9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  <c r="H18">
        <f t="shared" si="0"/>
        <v>2000</v>
      </c>
      <c r="I18">
        <f t="shared" si="1"/>
        <v>17980</v>
      </c>
    </row>
    <row r="19" ht="17.25" customHeight="1" spans="1:9">
      <c r="D19">
        <f>SUM(D2:D18)</f>
        <v>854.34</v>
      </c>
      <c r="E19">
        <f>SUM(E2:E18)</f>
        <v>13624</v>
      </c>
      <c r="F19">
        <f>SUM(F2:F18)</f>
        <v>9569</v>
      </c>
      <c r="G19">
        <f>SUM(G2:G18)</f>
        <v>1336</v>
      </c>
      <c r="H19">
        <f>SUM(H2:H18)</f>
        <v>24529</v>
      </c>
      <c r="I19">
        <f>SUM(I2:I18)</f>
        <v>164523.53</v>
      </c>
    </row>
    <row r="20" ht="17.25" customHeight="1" spans="1:9">
      <c r="D20">
        <f>MIN(D2:D18)</f>
        <v>1.99</v>
      </c>
    </row>
    <row r="21" ht="17.25" customHeight="1" spans="1:9">
      <c r="D21">
        <f>MAX(D2:D18)</f>
        <v>450</v>
      </c>
    </row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9.17948717948718" defaultRowHeight="15" customHeight="1"/>
  <cols>
    <col min="1" max="26" width="8.44871794871795" customWidth="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9.17948717948718" defaultRowHeight="15" customHeight="1"/>
  <cols>
    <col min="1" max="26" width="8.44871794871795" customWidth="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Tushar Santosh Deshmukh</cp:lastModifiedBy>
  <dcterms:created xsi:type="dcterms:W3CDTF">2021-08-30T06:40:00Z</dcterms:created>
  <dcterms:modified xsi:type="dcterms:W3CDTF">2026-10-13T14:43:53Z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009510E961DD4E9A87C2F446AA791A94_13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